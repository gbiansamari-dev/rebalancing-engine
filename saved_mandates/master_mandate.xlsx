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rvative" sheetId="1" state="visible" r:id="rId1"/>
    <sheet xmlns:r="http://schemas.openxmlformats.org/officeDocument/2006/relationships" name="Balanced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All Equ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B2239"/>
      <sz val="16"/>
    </font>
    <font>
      <name val="Calibri"/>
      <b val="1"/>
      <i val="1"/>
      <sz val="11"/>
    </font>
    <font>
      <name val="Calibri"/>
      <b val="1"/>
      <color rgb="00FFFFFF"/>
      <sz val="12"/>
    </font>
    <font>
      <name val="Calibri"/>
      <i val="1"/>
      <color rgb="00595959"/>
      <sz val="11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0B223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28" customWidth="1" min="8" max="8"/>
  </cols>
  <sheetData>
    <row r="1">
      <c r="A1" s="1" t="inlineStr">
        <is>
          <t>Conservative Portfolio - Active Credit &amp; Direct Equity</t>
        </is>
      </c>
    </row>
    <row r="2">
      <c r="A2" s="2" t="inlineStr">
        <is>
          <t>20% Equity / 75% Fixed Income / 5% Cash - Institutional Active Credit Focus</t>
        </is>
      </c>
    </row>
    <row r="4">
      <c r="A4" s="3" t="inlineStr">
        <is>
          <t>Asset Class</t>
        </is>
      </c>
      <c r="B4" s="3" t="inlineStr">
        <is>
          <t>Security Name</t>
        </is>
      </c>
      <c r="C4" s="3" t="inlineStr">
        <is>
          <t>Ticker / Identifier</t>
        </is>
      </c>
      <c r="D4" s="3" t="inlineStr">
        <is>
          <t>Target Weight</t>
        </is>
      </c>
      <c r="E4" s="3" t="inlineStr">
        <is>
          <t>Drift Band (+/-)</t>
        </is>
      </c>
      <c r="F4" s="3" t="inlineStr">
        <is>
          <t>Min Tolerance</t>
        </is>
      </c>
      <c r="G4" s="3" t="inlineStr">
        <is>
          <t>Max Tolerance</t>
        </is>
      </c>
      <c r="H4" s="3" t="inlineStr">
        <is>
          <t>Tracking Protocol</t>
        </is>
      </c>
    </row>
    <row r="5">
      <c r="A5" s="4" t="inlineStr">
        <is>
          <t>Cash Equivalent</t>
        </is>
      </c>
      <c r="B5" s="4" t="inlineStr">
        <is>
          <t>National Bank Cash Fund</t>
        </is>
      </c>
      <c r="C5" s="5" t="inlineStr">
        <is>
          <t>NBC200</t>
        </is>
      </c>
      <c r="D5" s="6" t="n">
        <v>0.05</v>
      </c>
      <c r="E5" s="6" t="n">
        <v>0</v>
      </c>
      <c r="F5" s="6">
        <f>D5-E5</f>
        <v/>
      </c>
      <c r="G5" s="6">
        <f>D5+E5</f>
        <v/>
      </c>
      <c r="H5" s="7" t="inlineStr">
        <is>
          <t>Anchor (No Daily Drift)</t>
        </is>
      </c>
    </row>
    <row r="6">
      <c r="A6" s="4" t="inlineStr">
        <is>
          <t>Government Bond</t>
        </is>
      </c>
      <c r="B6" s="4" t="inlineStr">
        <is>
          <t>iShares 1-5 Year Laddered Government Bond Index ETF</t>
        </is>
      </c>
      <c r="C6" s="5" t="inlineStr">
        <is>
          <t>CLF.TO</t>
        </is>
      </c>
      <c r="D6" s="6" t="n">
        <v>0.15</v>
      </c>
      <c r="E6" s="6" t="n">
        <v>0.02</v>
      </c>
      <c r="F6" s="6">
        <f>D6-E6</f>
        <v/>
      </c>
      <c r="G6" s="6">
        <f>D6+E6</f>
        <v/>
      </c>
      <c r="H6" s="8" t="inlineStr">
        <is>
          <t>Standard Daily Drift</t>
        </is>
      </c>
    </row>
    <row r="7">
      <c r="A7" s="4" t="inlineStr">
        <is>
          <t>Active Fixed Income</t>
        </is>
      </c>
      <c r="B7" s="4" t="inlineStr">
        <is>
          <t>BMO Aggregate Bond Index ETF</t>
        </is>
      </c>
      <c r="C7" s="5" t="inlineStr">
        <is>
          <t>ZAG.TO</t>
        </is>
      </c>
      <c r="D7" s="6" t="n">
        <v>0.2</v>
      </c>
      <c r="E7" s="6" t="n">
        <v>0.03</v>
      </c>
      <c r="F7" s="6">
        <f>D7-E7</f>
        <v/>
      </c>
      <c r="G7" s="6">
        <f>D7+E7</f>
        <v/>
      </c>
      <c r="H7" s="8" t="inlineStr">
        <is>
          <t>Standard Daily Drift</t>
        </is>
      </c>
    </row>
    <row r="8">
      <c r="A8" s="4" t="inlineStr">
        <is>
          <t>Active Fixed Income</t>
        </is>
      </c>
      <c r="B8" s="4" t="inlineStr">
        <is>
          <t>PIMCO Monthly Income ETF (Canada)</t>
        </is>
      </c>
      <c r="C8" s="5" t="inlineStr">
        <is>
          <t>PMIF.TO</t>
        </is>
      </c>
      <c r="D8" s="6" t="n">
        <v>0.2</v>
      </c>
      <c r="E8" s="6" t="n">
        <v>0.03</v>
      </c>
      <c r="F8" s="6">
        <f>D8-E8</f>
        <v/>
      </c>
      <c r="G8" s="6">
        <f>D8+E8</f>
        <v/>
      </c>
      <c r="H8" s="8" t="inlineStr">
        <is>
          <t>Standard Daily Drift</t>
        </is>
      </c>
    </row>
    <row r="9">
      <c r="A9" s="4" t="inlineStr">
        <is>
          <t>Active Fixed Income</t>
        </is>
      </c>
      <c r="B9" s="4" t="inlineStr">
        <is>
          <t>iShares Canadian Corporate Bond Index ETF</t>
        </is>
      </c>
      <c r="C9" s="5" t="inlineStr">
        <is>
          <t>XCB.TO</t>
        </is>
      </c>
      <c r="D9" s="6" t="n">
        <v>0.15</v>
      </c>
      <c r="E9" s="6" t="n">
        <v>0.03</v>
      </c>
      <c r="F9" s="6">
        <f>D9-E9</f>
        <v/>
      </c>
      <c r="G9" s="6">
        <f>D9+E9</f>
        <v/>
      </c>
      <c r="H9" s="8" t="inlineStr">
        <is>
          <t>Standard Daily Drift</t>
        </is>
      </c>
    </row>
    <row r="10">
      <c r="A10" s="4" t="inlineStr">
        <is>
          <t>Canadian Equity</t>
        </is>
      </c>
      <c r="B10" s="4" t="inlineStr">
        <is>
          <t>Royal Bank of Canada</t>
        </is>
      </c>
      <c r="C10" s="5" t="inlineStr">
        <is>
          <t>RY.TO</t>
        </is>
      </c>
      <c r="D10" s="6" t="n">
        <v>0.03</v>
      </c>
      <c r="E10" s="6" t="n">
        <v>0.03</v>
      </c>
      <c r="F10" s="6">
        <f>D10-E10</f>
        <v/>
      </c>
      <c r="G10" s="6">
        <f>D10+E10</f>
        <v/>
      </c>
      <c r="H10" s="8" t="inlineStr">
        <is>
          <t>Standard Daily Drift</t>
        </is>
      </c>
    </row>
    <row r="11">
      <c r="A11" s="4" t="inlineStr">
        <is>
          <t>Canadian Equity</t>
        </is>
      </c>
      <c r="B11" s="4" t="inlineStr">
        <is>
          <t>Enbridge Inc.</t>
        </is>
      </c>
      <c r="C11" s="5" t="inlineStr">
        <is>
          <t>ENB.TO</t>
        </is>
      </c>
      <c r="D11" s="6" t="n">
        <v>0.03</v>
      </c>
      <c r="E11" s="6" t="n">
        <v>0.03</v>
      </c>
      <c r="F11" s="6">
        <f>D11-E11</f>
        <v/>
      </c>
      <c r="G11" s="6">
        <f>D11+E11</f>
        <v/>
      </c>
      <c r="H11" s="8" t="inlineStr">
        <is>
          <t>Standard Daily Drift</t>
        </is>
      </c>
    </row>
    <row r="12">
      <c r="A12" s="4" t="inlineStr">
        <is>
          <t>Canadian Equity</t>
        </is>
      </c>
      <c r="B12" s="4" t="inlineStr">
        <is>
          <t>Canadian National Railway Co.</t>
        </is>
      </c>
      <c r="C12" s="5" t="inlineStr">
        <is>
          <t>CNR.TO</t>
        </is>
      </c>
      <c r="D12" s="6" t="n">
        <v>0.02</v>
      </c>
      <c r="E12" s="6" t="n">
        <v>0.03</v>
      </c>
      <c r="F12" s="6">
        <f>D12-E12</f>
        <v/>
      </c>
      <c r="G12" s="6">
        <f>D12+E12</f>
        <v/>
      </c>
      <c r="H12" s="8" t="inlineStr">
        <is>
          <t>Standard Daily Drift</t>
        </is>
      </c>
    </row>
    <row r="13">
      <c r="A13" s="4" t="inlineStr">
        <is>
          <t>Canadian Equity</t>
        </is>
      </c>
      <c r="B13" s="4" t="inlineStr">
        <is>
          <t>Fortis Inc.</t>
        </is>
      </c>
      <c r="C13" s="5" t="inlineStr">
        <is>
          <t>FTS.TO</t>
        </is>
      </c>
      <c r="D13" s="6" t="n">
        <v>0.02</v>
      </c>
      <c r="E13" s="6" t="n">
        <v>0.03</v>
      </c>
      <c r="F13" s="6">
        <f>D13-E13</f>
        <v/>
      </c>
      <c r="G13" s="6">
        <f>D13+E13</f>
        <v/>
      </c>
      <c r="H13" s="8" t="inlineStr">
        <is>
          <t>Standard Daily Drift</t>
        </is>
      </c>
    </row>
    <row r="14">
      <c r="A14" s="4" t="inlineStr">
        <is>
          <t>US Equity</t>
        </is>
      </c>
      <c r="B14" s="4" t="inlineStr">
        <is>
          <t>Johnson &amp; Johnson</t>
        </is>
      </c>
      <c r="C14" s="5" t="inlineStr">
        <is>
          <t>JNJ</t>
        </is>
      </c>
      <c r="D14" s="6" t="n">
        <v>0.02</v>
      </c>
      <c r="E14" s="6" t="n">
        <v>0.03</v>
      </c>
      <c r="F14" s="6">
        <f>D14-E14</f>
        <v/>
      </c>
      <c r="G14" s="6">
        <f>D14+E14</f>
        <v/>
      </c>
      <c r="H14" s="8" t="inlineStr">
        <is>
          <t>Standard Daily Drift</t>
        </is>
      </c>
    </row>
    <row r="15">
      <c r="A15" s="4" t="inlineStr">
        <is>
          <t>US Equity</t>
        </is>
      </c>
      <c r="B15" s="4" t="inlineStr">
        <is>
          <t>Procter &amp; Gamble Co.</t>
        </is>
      </c>
      <c r="C15" s="5" t="inlineStr">
        <is>
          <t>PG</t>
        </is>
      </c>
      <c r="D15" s="6" t="n">
        <v>0.02</v>
      </c>
      <c r="E15" s="6" t="n">
        <v>0.03</v>
      </c>
      <c r="F15" s="6">
        <f>D15-E15</f>
        <v/>
      </c>
      <c r="G15" s="6">
        <f>D15+E15</f>
        <v/>
      </c>
      <c r="H15" s="8" t="inlineStr">
        <is>
          <t>Standard Daily Drift</t>
        </is>
      </c>
    </row>
    <row r="16">
      <c r="A16" s="4" t="inlineStr">
        <is>
          <t>US Equity</t>
        </is>
      </c>
      <c r="B16" s="4" t="inlineStr">
        <is>
          <t>Microsoft Corporation</t>
        </is>
      </c>
      <c r="C16" s="5" t="inlineStr">
        <is>
          <t>MSFT</t>
        </is>
      </c>
      <c r="D16" s="6" t="n">
        <v>0.01</v>
      </c>
      <c r="E16" s="6" t="n">
        <v>0.03</v>
      </c>
      <c r="F16" s="6">
        <f>D16-E16</f>
        <v/>
      </c>
      <c r="G16" s="6">
        <f>D16+E16</f>
        <v/>
      </c>
      <c r="H16" s="8" t="inlineStr">
        <is>
          <t>Standard Daily Drift</t>
        </is>
      </c>
    </row>
    <row r="17">
      <c r="A17" s="4" t="inlineStr">
        <is>
          <t>International Equity</t>
        </is>
      </c>
      <c r="B17" s="4" t="inlineStr">
        <is>
          <t>iShares Core MSCI EAFE IMI Index ETF</t>
        </is>
      </c>
      <c r="C17" s="5" t="inlineStr">
        <is>
          <t>XEF.TO</t>
        </is>
      </c>
      <c r="D17" s="6" t="n">
        <v>0.05</v>
      </c>
      <c r="E17" s="6" t="n">
        <v>0.03</v>
      </c>
      <c r="F17" s="6">
        <f>D17-E17</f>
        <v/>
      </c>
      <c r="G17" s="6">
        <f>D17+E17</f>
        <v/>
      </c>
      <c r="H17" s="8" t="inlineStr">
        <is>
          <t>Standard Daily Drift</t>
        </is>
      </c>
    </row>
    <row r="18">
      <c r="C18" s="9" t="inlineStr">
        <is>
          <t>TOTAL</t>
        </is>
      </c>
      <c r="D18" s="10">
        <f>SUM(D5:D17)</f>
        <v/>
      </c>
    </row>
    <row r="19"/>
    <row r="20">
      <c r="A20" s="11" t="inlineStr">
        <is>
          <t>* Stable money market funds (NBC200) are assigned a 0.0% drift band to function as cash anchors.</t>
        </is>
      </c>
    </row>
    <row r="21">
      <c r="A21" s="11" t="inlineStr">
        <is>
          <t>** The fixed income sleeve utilizes active institutional credit managers (Guardian, PIMCO, Canso) in place of provincial bonds.</t>
        </is>
      </c>
    </row>
  </sheetData>
  <mergeCells count="4">
    <mergeCell ref="A20:H20"/>
    <mergeCell ref="A21:H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28" customWidth="1" min="8" max="8"/>
  </cols>
  <sheetData>
    <row r="1">
      <c r="A1" s="1" t="inlineStr">
        <is>
          <t>Balanced Portfolio - Active Credit &amp; Direct Equity</t>
        </is>
      </c>
    </row>
    <row r="2">
      <c r="A2" s="2" t="inlineStr">
        <is>
          <t>50% Equity / 46% Fixed Income / 4% Cash - Institutional Active Credit &amp; Direct Equity</t>
        </is>
      </c>
    </row>
    <row r="4">
      <c r="A4" s="3" t="inlineStr">
        <is>
          <t>Asset Class</t>
        </is>
      </c>
      <c r="B4" s="3" t="inlineStr">
        <is>
          <t>Security Name</t>
        </is>
      </c>
      <c r="C4" s="3" t="inlineStr">
        <is>
          <t>Ticker / Identifier</t>
        </is>
      </c>
      <c r="D4" s="3" t="inlineStr">
        <is>
          <t>Target Weight</t>
        </is>
      </c>
      <c r="E4" s="3" t="inlineStr">
        <is>
          <t>Drift Band (+/-)</t>
        </is>
      </c>
      <c r="F4" s="3" t="inlineStr">
        <is>
          <t>Min Tolerance</t>
        </is>
      </c>
      <c r="G4" s="3" t="inlineStr">
        <is>
          <t>Max Tolerance</t>
        </is>
      </c>
      <c r="H4" s="3" t="inlineStr">
        <is>
          <t>Tracking Protocol</t>
        </is>
      </c>
    </row>
    <row r="5">
      <c r="A5" s="4" t="inlineStr">
        <is>
          <t>Cash Equivalent</t>
        </is>
      </c>
      <c r="B5" s="4" t="inlineStr">
        <is>
          <t>National Bank Cash Fund</t>
        </is>
      </c>
      <c r="C5" s="5" t="inlineStr">
        <is>
          <t>NBC200</t>
        </is>
      </c>
      <c r="D5" s="6" t="n">
        <v>0.04</v>
      </c>
      <c r="E5" s="6" t="n">
        <v>0</v>
      </c>
      <c r="F5" s="6">
        <f>D5-E5</f>
        <v/>
      </c>
      <c r="G5" s="6">
        <f>D5+E5</f>
        <v/>
      </c>
      <c r="H5" s="7" t="inlineStr">
        <is>
          <t>Anchor (No Daily Drift)</t>
        </is>
      </c>
    </row>
    <row r="6">
      <c r="A6" s="4" t="inlineStr">
        <is>
          <t>Government Bond</t>
        </is>
      </c>
      <c r="B6" s="4" t="inlineStr">
        <is>
          <t>iShares 1-5 Year Laddered Government Bond Index ETF</t>
        </is>
      </c>
      <c r="C6" s="5" t="inlineStr">
        <is>
          <t>CLF.TO</t>
        </is>
      </c>
      <c r="D6" s="6" t="n">
        <v>0.1</v>
      </c>
      <c r="E6" s="6" t="n">
        <v>0.02</v>
      </c>
      <c r="F6" s="6">
        <f>D6-E6</f>
        <v/>
      </c>
      <c r="G6" s="6">
        <f>D6+E6</f>
        <v/>
      </c>
      <c r="H6" s="8" t="inlineStr">
        <is>
          <t>Standard Daily Drift</t>
        </is>
      </c>
    </row>
    <row r="7">
      <c r="A7" s="4" t="inlineStr">
        <is>
          <t>Active Fixed Income</t>
        </is>
      </c>
      <c r="B7" s="4" t="inlineStr">
        <is>
          <t>BMO Aggregate Bond Index ETF</t>
        </is>
      </c>
      <c r="C7" s="5" t="inlineStr">
        <is>
          <t>ZAG.TO</t>
        </is>
      </c>
      <c r="D7" s="6" t="n">
        <v>0.1</v>
      </c>
      <c r="E7" s="6" t="n">
        <v>0.03</v>
      </c>
      <c r="F7" s="6">
        <f>D7-E7</f>
        <v/>
      </c>
      <c r="G7" s="6">
        <f>D7+E7</f>
        <v/>
      </c>
      <c r="H7" s="8" t="inlineStr">
        <is>
          <t>Standard Daily Drift</t>
        </is>
      </c>
    </row>
    <row r="8">
      <c r="A8" s="4" t="inlineStr">
        <is>
          <t>Active Fixed Income</t>
        </is>
      </c>
      <c r="B8" s="4" t="inlineStr">
        <is>
          <t>PIMCO Monthly Income ETF (Canada)</t>
        </is>
      </c>
      <c r="C8" s="5" t="inlineStr">
        <is>
          <t>PMIF.TO</t>
        </is>
      </c>
      <c r="D8" s="6" t="n">
        <v>0.15</v>
      </c>
      <c r="E8" s="6" t="n">
        <v>0.03</v>
      </c>
      <c r="F8" s="6">
        <f>D8-E8</f>
        <v/>
      </c>
      <c r="G8" s="6">
        <f>D8+E8</f>
        <v/>
      </c>
      <c r="H8" s="8" t="inlineStr">
        <is>
          <t>Standard Daily Drift</t>
        </is>
      </c>
    </row>
    <row r="9">
      <c r="A9" s="4" t="inlineStr">
        <is>
          <t>Active Fixed Income</t>
        </is>
      </c>
      <c r="B9" s="4" t="inlineStr">
        <is>
          <t>iShares Canadian Corporate Bond Index ETF</t>
        </is>
      </c>
      <c r="C9" s="5" t="inlineStr">
        <is>
          <t>XCB.TO</t>
        </is>
      </c>
      <c r="D9" s="6" t="n">
        <v>0.11</v>
      </c>
      <c r="E9" s="6" t="n">
        <v>0.03</v>
      </c>
      <c r="F9" s="6">
        <f>D9-E9</f>
        <v/>
      </c>
      <c r="G9" s="6">
        <f>D9+E9</f>
        <v/>
      </c>
      <c r="H9" s="8" t="inlineStr">
        <is>
          <t>Standard Daily Drift</t>
        </is>
      </c>
    </row>
    <row r="10">
      <c r="A10" s="4" t="inlineStr">
        <is>
          <t>Canadian Equity</t>
        </is>
      </c>
      <c r="B10" s="4" t="inlineStr">
        <is>
          <t>Royal Bank of Canada</t>
        </is>
      </c>
      <c r="C10" s="5" t="inlineStr">
        <is>
          <t>RY.TO</t>
        </is>
      </c>
      <c r="D10" s="6" t="n">
        <v>0.03</v>
      </c>
      <c r="E10" s="6" t="n">
        <v>0.03</v>
      </c>
      <c r="F10" s="6">
        <f>D10-E10</f>
        <v/>
      </c>
      <c r="G10" s="6">
        <f>D10+E10</f>
        <v/>
      </c>
      <c r="H10" s="8" t="inlineStr">
        <is>
          <t>Standard Daily Drift</t>
        </is>
      </c>
    </row>
    <row r="11">
      <c r="A11" s="4" t="inlineStr">
        <is>
          <t>Canadian Equity</t>
        </is>
      </c>
      <c r="B11" s="4" t="inlineStr">
        <is>
          <t>Toronto-Dominion Bank</t>
        </is>
      </c>
      <c r="C11" s="5" t="inlineStr">
        <is>
          <t>TD.TO</t>
        </is>
      </c>
      <c r="D11" s="6" t="n">
        <v>0.02</v>
      </c>
      <c r="E11" s="6" t="n">
        <v>0.03</v>
      </c>
      <c r="F11" s="6">
        <f>D11-E11</f>
        <v/>
      </c>
      <c r="G11" s="6">
        <f>D11+E11</f>
        <v/>
      </c>
      <c r="H11" s="8" t="inlineStr">
        <is>
          <t>Standard Daily Drift</t>
        </is>
      </c>
    </row>
    <row r="12">
      <c r="A12" s="4" t="inlineStr">
        <is>
          <t>Canadian Equity</t>
        </is>
      </c>
      <c r="B12" s="4" t="inlineStr">
        <is>
          <t>Enbridge Inc.</t>
        </is>
      </c>
      <c r="C12" s="5" t="inlineStr">
        <is>
          <t>ENB.TO</t>
        </is>
      </c>
      <c r="D12" s="6" t="n">
        <v>0.02</v>
      </c>
      <c r="E12" s="6" t="n">
        <v>0.03</v>
      </c>
      <c r="F12" s="6">
        <f>D12-E12</f>
        <v/>
      </c>
      <c r="G12" s="6">
        <f>D12+E12</f>
        <v/>
      </c>
      <c r="H12" s="8" t="inlineStr">
        <is>
          <t>Standard Daily Drift</t>
        </is>
      </c>
    </row>
    <row r="13">
      <c r="A13" s="4" t="inlineStr">
        <is>
          <t>Canadian Equity</t>
        </is>
      </c>
      <c r="B13" s="4" t="inlineStr">
        <is>
          <t>Canadian National Railway Co.</t>
        </is>
      </c>
      <c r="C13" s="5" t="inlineStr">
        <is>
          <t>CNR.TO</t>
        </is>
      </c>
      <c r="D13" s="6" t="n">
        <v>0.02</v>
      </c>
      <c r="E13" s="6" t="n">
        <v>0.03</v>
      </c>
      <c r="F13" s="6">
        <f>D13-E13</f>
        <v/>
      </c>
      <c r="G13" s="6">
        <f>D13+E13</f>
        <v/>
      </c>
      <c r="H13" s="8" t="inlineStr">
        <is>
          <t>Standard Daily Drift</t>
        </is>
      </c>
    </row>
    <row r="14">
      <c r="A14" s="4" t="inlineStr">
        <is>
          <t>Canadian Equity</t>
        </is>
      </c>
      <c r="B14" s="4" t="inlineStr">
        <is>
          <t>Alimentation Couche-Tard Inc.</t>
        </is>
      </c>
      <c r="C14" s="5" t="inlineStr">
        <is>
          <t>ATD.TO</t>
        </is>
      </c>
      <c r="D14" s="6" t="n">
        <v>0.02</v>
      </c>
      <c r="E14" s="6" t="n">
        <v>0.03</v>
      </c>
      <c r="F14" s="6">
        <f>D14-E14</f>
        <v/>
      </c>
      <c r="G14" s="6">
        <f>D14+E14</f>
        <v/>
      </c>
      <c r="H14" s="8" t="inlineStr">
        <is>
          <t>Standard Daily Drift</t>
        </is>
      </c>
    </row>
    <row r="15">
      <c r="A15" s="4" t="inlineStr">
        <is>
          <t>Canadian Equity</t>
        </is>
      </c>
      <c r="B15" s="4" t="inlineStr">
        <is>
          <t>Brookfield Corporation</t>
        </is>
      </c>
      <c r="C15" s="5" t="inlineStr">
        <is>
          <t>BAM.TO</t>
        </is>
      </c>
      <c r="D15" s="6" t="n">
        <v>0.02</v>
      </c>
      <c r="E15" s="6" t="n">
        <v>0.03</v>
      </c>
      <c r="F15" s="6">
        <f>D15-E15</f>
        <v/>
      </c>
      <c r="G15" s="6">
        <f>D15+E15</f>
        <v/>
      </c>
      <c r="H15" s="8" t="inlineStr">
        <is>
          <t>Standard Daily Drift</t>
        </is>
      </c>
    </row>
    <row r="16">
      <c r="A16" s="4" t="inlineStr">
        <is>
          <t>Canadian Equity</t>
        </is>
      </c>
      <c r="B16" s="4" t="inlineStr">
        <is>
          <t>Constellation Software Inc.</t>
        </is>
      </c>
      <c r="C16" s="5" t="inlineStr">
        <is>
          <t>CSU.TO</t>
        </is>
      </c>
      <c r="D16" s="6" t="n">
        <v>0.02</v>
      </c>
      <c r="E16" s="6" t="n">
        <v>0.04</v>
      </c>
      <c r="F16" s="6">
        <f>D16-E16</f>
        <v/>
      </c>
      <c r="G16" s="6">
        <f>D16+E16</f>
        <v/>
      </c>
      <c r="H16" s="8" t="inlineStr">
        <is>
          <t>Standard Daily Drift</t>
        </is>
      </c>
    </row>
    <row r="17">
      <c r="A17" s="4" t="inlineStr">
        <is>
          <t>US Equity</t>
        </is>
      </c>
      <c r="B17" s="4" t="inlineStr">
        <is>
          <t>Microsoft Corporation</t>
        </is>
      </c>
      <c r="C17" s="5" t="inlineStr">
        <is>
          <t>MSFT</t>
        </is>
      </c>
      <c r="D17" s="6" t="n">
        <v>0.03</v>
      </c>
      <c r="E17" s="6" t="n">
        <v>0.04</v>
      </c>
      <c r="F17" s="6">
        <f>D17-E17</f>
        <v/>
      </c>
      <c r="G17" s="6">
        <f>D17+E17</f>
        <v/>
      </c>
      <c r="H17" s="8" t="inlineStr">
        <is>
          <t>Standard Daily Drift</t>
        </is>
      </c>
    </row>
    <row r="18">
      <c r="A18" s="4" t="inlineStr">
        <is>
          <t>US Equity</t>
        </is>
      </c>
      <c r="B18" s="4" t="inlineStr">
        <is>
          <t>Apple Inc.</t>
        </is>
      </c>
      <c r="C18" s="5" t="inlineStr">
        <is>
          <t>AAPL</t>
        </is>
      </c>
      <c r="D18" s="6" t="n">
        <v>0.03</v>
      </c>
      <c r="E18" s="6" t="n">
        <v>0.04</v>
      </c>
      <c r="F18" s="6">
        <f>D18-E18</f>
        <v/>
      </c>
      <c r="G18" s="6">
        <f>D18+E18</f>
        <v/>
      </c>
      <c r="H18" s="8" t="inlineStr">
        <is>
          <t>Standard Daily Drift</t>
        </is>
      </c>
    </row>
    <row r="19">
      <c r="A19" s="4" t="inlineStr">
        <is>
          <t>US Equity</t>
        </is>
      </c>
      <c r="B19" s="4" t="inlineStr">
        <is>
          <t>Visa Inc.</t>
        </is>
      </c>
      <c r="C19" s="5" t="inlineStr">
        <is>
          <t>V</t>
        </is>
      </c>
      <c r="D19" s="6" t="n">
        <v>0.02</v>
      </c>
      <c r="E19" s="6" t="n">
        <v>0.04</v>
      </c>
      <c r="F19" s="6">
        <f>D19-E19</f>
        <v/>
      </c>
      <c r="G19" s="6">
        <f>D19+E19</f>
        <v/>
      </c>
      <c r="H19" s="8" t="inlineStr">
        <is>
          <t>Standard Daily Drift</t>
        </is>
      </c>
    </row>
    <row r="20">
      <c r="A20" s="4" t="inlineStr">
        <is>
          <t>US Equity</t>
        </is>
      </c>
      <c r="B20" s="4" t="inlineStr">
        <is>
          <t>UnitedHealth Group Inc.</t>
        </is>
      </c>
      <c r="C20" s="5" t="inlineStr">
        <is>
          <t>UNH</t>
        </is>
      </c>
      <c r="D20" s="6" t="n">
        <v>0.02</v>
      </c>
      <c r="E20" s="6" t="n">
        <v>0.03</v>
      </c>
      <c r="F20" s="6">
        <f>D20-E20</f>
        <v/>
      </c>
      <c r="G20" s="6">
        <f>D20+E20</f>
        <v/>
      </c>
      <c r="H20" s="8" t="inlineStr">
        <is>
          <t>Standard Daily Drift</t>
        </is>
      </c>
    </row>
    <row r="21">
      <c r="A21" s="4" t="inlineStr">
        <is>
          <t>US Equity</t>
        </is>
      </c>
      <c r="B21" s="4" t="inlineStr">
        <is>
          <t>Eli Lilly and Company</t>
        </is>
      </c>
      <c r="C21" s="5" t="inlineStr">
        <is>
          <t>LLY</t>
        </is>
      </c>
      <c r="D21" s="6" t="n">
        <v>0.02</v>
      </c>
      <c r="E21" s="6" t="n">
        <v>0.04</v>
      </c>
      <c r="F21" s="6">
        <f>D21-E21</f>
        <v/>
      </c>
      <c r="G21" s="6">
        <f>D21+E21</f>
        <v/>
      </c>
      <c r="H21" s="8" t="inlineStr">
        <is>
          <t>Standard Daily Drift</t>
        </is>
      </c>
    </row>
    <row r="22">
      <c r="A22" s="4" t="inlineStr">
        <is>
          <t>US Equity</t>
        </is>
      </c>
      <c r="B22" s="4" t="inlineStr">
        <is>
          <t>Johnson &amp; Johnson</t>
        </is>
      </c>
      <c r="C22" s="5" t="inlineStr">
        <is>
          <t>JNJ</t>
        </is>
      </c>
      <c r="D22" s="6" t="n">
        <v>0.02</v>
      </c>
      <c r="E22" s="6" t="n">
        <v>0.03</v>
      </c>
      <c r="F22" s="6">
        <f>D22-E22</f>
        <v/>
      </c>
      <c r="G22" s="6">
        <f>D22+E22</f>
        <v/>
      </c>
      <c r="H22" s="8" t="inlineStr">
        <is>
          <t>Standard Daily Drift</t>
        </is>
      </c>
    </row>
    <row r="23">
      <c r="A23" s="4" t="inlineStr">
        <is>
          <t>US Equity</t>
        </is>
      </c>
      <c r="B23" s="4" t="inlineStr">
        <is>
          <t>Amazon.com Inc.</t>
        </is>
      </c>
      <c r="C23" s="5" t="inlineStr">
        <is>
          <t>AMZN</t>
        </is>
      </c>
      <c r="D23" s="6" t="n">
        <v>0.02</v>
      </c>
      <c r="E23" s="6" t="n">
        <v>0.04</v>
      </c>
      <c r="F23" s="6">
        <f>D23-E23</f>
        <v/>
      </c>
      <c r="G23" s="6">
        <f>D23+E23</f>
        <v/>
      </c>
      <c r="H23" s="8" t="inlineStr">
        <is>
          <t>Standard Daily Drift</t>
        </is>
      </c>
    </row>
    <row r="24">
      <c r="A24" s="4" t="inlineStr">
        <is>
          <t>US Equity</t>
        </is>
      </c>
      <c r="B24" s="4" t="inlineStr">
        <is>
          <t>Alphabet Inc. (Class A)</t>
        </is>
      </c>
      <c r="C24" s="5" t="inlineStr">
        <is>
          <t>GOOGL</t>
        </is>
      </c>
      <c r="D24" s="6" t="n">
        <v>0.01</v>
      </c>
      <c r="E24" s="6" t="n">
        <v>0.03</v>
      </c>
      <c r="F24" s="6">
        <f>D24-E24</f>
        <v/>
      </c>
      <c r="G24" s="6">
        <f>D24+E24</f>
        <v/>
      </c>
      <c r="H24" s="8" t="inlineStr">
        <is>
          <t>Standard Daily Drift</t>
        </is>
      </c>
    </row>
    <row r="25">
      <c r="A25" s="4" t="inlineStr">
        <is>
          <t>International Equity</t>
        </is>
      </c>
      <c r="B25" s="4" t="inlineStr">
        <is>
          <t>iShares Core MSCI EAFE IMI Index ETF</t>
        </is>
      </c>
      <c r="C25" s="5" t="inlineStr">
        <is>
          <t>XEF.TO</t>
        </is>
      </c>
      <c r="D25" s="6" t="n">
        <v>0.15</v>
      </c>
      <c r="E25" s="6" t="n">
        <v>0.03</v>
      </c>
      <c r="F25" s="6">
        <f>D25-E25</f>
        <v/>
      </c>
      <c r="G25" s="6">
        <f>D25+E25</f>
        <v/>
      </c>
      <c r="H25" s="8" t="inlineStr">
        <is>
          <t>Standard Daily Drift</t>
        </is>
      </c>
    </row>
    <row r="26">
      <c r="C26" s="9" t="inlineStr">
        <is>
          <t>TOTAL</t>
        </is>
      </c>
      <c r="D26" s="10">
        <f>SUM(D5:D25)</f>
        <v/>
      </c>
    </row>
    <row r="27"/>
    <row r="28">
      <c r="A28" s="11" t="inlineStr">
        <is>
          <t>* Stable money market funds (NBC200) are assigned a 0.0% drift band to function as cash anchors.</t>
        </is>
      </c>
    </row>
    <row r="29">
      <c r="A29" s="11" t="inlineStr">
        <is>
          <t>** The fixed income sleeve utilizes active institutional credit managers (Guardian, PIMCO, Canso) in place of provincial bonds.</t>
        </is>
      </c>
    </row>
  </sheetData>
  <mergeCells count="4">
    <mergeCell ref="A28:H28"/>
    <mergeCell ref="A2:H2"/>
    <mergeCell ref="A29:H2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28" customWidth="1" min="8" max="8"/>
  </cols>
  <sheetData>
    <row r="1">
      <c r="A1" s="1" t="inlineStr">
        <is>
          <t>Growth Portfolio - Active Credit &amp; Direct Equity</t>
        </is>
      </c>
    </row>
    <row r="2">
      <c r="A2" s="2" t="inlineStr">
        <is>
          <t>70% Equity / 28% Fixed Income / 2% Cash - Growth Multi-Asset</t>
        </is>
      </c>
    </row>
    <row r="4">
      <c r="A4" s="3" t="inlineStr">
        <is>
          <t>Asset Class</t>
        </is>
      </c>
      <c r="B4" s="3" t="inlineStr">
        <is>
          <t>Security Name</t>
        </is>
      </c>
      <c r="C4" s="3" t="inlineStr">
        <is>
          <t>Ticker / Identifier</t>
        </is>
      </c>
      <c r="D4" s="3" t="inlineStr">
        <is>
          <t>Target Weight</t>
        </is>
      </c>
      <c r="E4" s="3" t="inlineStr">
        <is>
          <t>Drift Band (+/-)</t>
        </is>
      </c>
      <c r="F4" s="3" t="inlineStr">
        <is>
          <t>Min Tolerance</t>
        </is>
      </c>
      <c r="G4" s="3" t="inlineStr">
        <is>
          <t>Max Tolerance</t>
        </is>
      </c>
      <c r="H4" s="3" t="inlineStr">
        <is>
          <t>Tracking Protocol</t>
        </is>
      </c>
    </row>
    <row r="5">
      <c r="A5" s="4" t="inlineStr">
        <is>
          <t>Cash Equivalent</t>
        </is>
      </c>
      <c r="B5" s="4" t="inlineStr">
        <is>
          <t>National Bank Cash Fund</t>
        </is>
      </c>
      <c r="C5" s="5" t="inlineStr">
        <is>
          <t>NBC200</t>
        </is>
      </c>
      <c r="D5" s="6" t="n">
        <v>0.02</v>
      </c>
      <c r="E5" s="6" t="n">
        <v>0</v>
      </c>
      <c r="F5" s="6">
        <f>D5-E5</f>
        <v/>
      </c>
      <c r="G5" s="6">
        <f>D5+E5</f>
        <v/>
      </c>
      <c r="H5" s="7" t="inlineStr">
        <is>
          <t>Anchor (No Daily Drift)</t>
        </is>
      </c>
    </row>
    <row r="6">
      <c r="A6" s="4" t="inlineStr">
        <is>
          <t>Government Bond</t>
        </is>
      </c>
      <c r="B6" s="4" t="inlineStr">
        <is>
          <t>iShares 1-5 Year Laddered Government Bond Index ETF</t>
        </is>
      </c>
      <c r="C6" s="5" t="inlineStr">
        <is>
          <t>CLF.TO</t>
        </is>
      </c>
      <c r="D6" s="6" t="n">
        <v>0.05</v>
      </c>
      <c r="E6" s="6" t="n">
        <v>0.02</v>
      </c>
      <c r="F6" s="6">
        <f>D6-E6</f>
        <v/>
      </c>
      <c r="G6" s="6">
        <f>D6+E6</f>
        <v/>
      </c>
      <c r="H6" s="8" t="inlineStr">
        <is>
          <t>Standard Daily Drift</t>
        </is>
      </c>
    </row>
    <row r="7">
      <c r="A7" s="4" t="inlineStr">
        <is>
          <t>Active Fixed Income</t>
        </is>
      </c>
      <c r="B7" s="4" t="inlineStr">
        <is>
          <t>BMO Aggregate Bond Index ETF</t>
        </is>
      </c>
      <c r="C7" s="5" t="inlineStr">
        <is>
          <t>ZAG.TO</t>
        </is>
      </c>
      <c r="D7" s="6" t="n">
        <v>0.1</v>
      </c>
      <c r="E7" s="6" t="n">
        <v>0.03</v>
      </c>
      <c r="F7" s="6">
        <f>D7-E7</f>
        <v/>
      </c>
      <c r="G7" s="6">
        <f>D7+E7</f>
        <v/>
      </c>
      <c r="H7" s="8" t="inlineStr">
        <is>
          <t>Standard Daily Drift</t>
        </is>
      </c>
    </row>
    <row r="8">
      <c r="A8" s="4" t="inlineStr">
        <is>
          <t>Active Fixed Income</t>
        </is>
      </c>
      <c r="B8" s="4" t="inlineStr">
        <is>
          <t>PIMCO Monthly Income ETF (Canada)</t>
        </is>
      </c>
      <c r="C8" s="5" t="inlineStr">
        <is>
          <t>PMIF.TO</t>
        </is>
      </c>
      <c r="D8" s="6" t="n">
        <v>0.13</v>
      </c>
      <c r="E8" s="6" t="n">
        <v>0.03</v>
      </c>
      <c r="F8" s="6">
        <f>D8-E8</f>
        <v/>
      </c>
      <c r="G8" s="6">
        <f>D8+E8</f>
        <v/>
      </c>
      <c r="H8" s="8" t="inlineStr">
        <is>
          <t>Standard Daily Drift</t>
        </is>
      </c>
    </row>
    <row r="9">
      <c r="A9" s="4" t="inlineStr">
        <is>
          <t>Canadian Equity</t>
        </is>
      </c>
      <c r="B9" s="4" t="inlineStr">
        <is>
          <t>Royal Bank of Canada</t>
        </is>
      </c>
      <c r="C9" s="5" t="inlineStr">
        <is>
          <t>RY.TO</t>
        </is>
      </c>
      <c r="D9" s="6" t="n">
        <v>0.03</v>
      </c>
      <c r="E9" s="6" t="n">
        <v>0.03</v>
      </c>
      <c r="F9" s="6">
        <f>D9-E9</f>
        <v/>
      </c>
      <c r="G9" s="6">
        <f>D9+E9</f>
        <v/>
      </c>
      <c r="H9" s="8" t="inlineStr">
        <is>
          <t>Standard Daily Drift</t>
        </is>
      </c>
    </row>
    <row r="10">
      <c r="A10" s="4" t="inlineStr">
        <is>
          <t>Canadian Equity</t>
        </is>
      </c>
      <c r="B10" s="4" t="inlineStr">
        <is>
          <t>Toronto-Dominion Bank</t>
        </is>
      </c>
      <c r="C10" s="5" t="inlineStr">
        <is>
          <t>TD.TO</t>
        </is>
      </c>
      <c r="D10" s="6" t="n">
        <v>0.02</v>
      </c>
      <c r="E10" s="6" t="n">
        <v>0.03</v>
      </c>
      <c r="F10" s="6">
        <f>D10-E10</f>
        <v/>
      </c>
      <c r="G10" s="6">
        <f>D10+E10</f>
        <v/>
      </c>
      <c r="H10" s="8" t="inlineStr">
        <is>
          <t>Standard Daily Drift</t>
        </is>
      </c>
    </row>
    <row r="11">
      <c r="A11" s="4" t="inlineStr">
        <is>
          <t>Canadian Equity</t>
        </is>
      </c>
      <c r="B11" s="4" t="inlineStr">
        <is>
          <t>Canadian National Railway Co.</t>
        </is>
      </c>
      <c r="C11" s="5" t="inlineStr">
        <is>
          <t>CNR.TO</t>
        </is>
      </c>
      <c r="D11" s="6" t="n">
        <v>0.03</v>
      </c>
      <c r="E11" s="6" t="n">
        <v>0.03</v>
      </c>
      <c r="F11" s="6">
        <f>D11-E11</f>
        <v/>
      </c>
      <c r="G11" s="6">
        <f>D11+E11</f>
        <v/>
      </c>
      <c r="H11" s="8" t="inlineStr">
        <is>
          <t>Standard Daily Drift</t>
        </is>
      </c>
    </row>
    <row r="12">
      <c r="A12" s="4" t="inlineStr">
        <is>
          <t>Canadian Equity</t>
        </is>
      </c>
      <c r="B12" s="4" t="inlineStr">
        <is>
          <t>Alimentation Couche-Tard Inc.</t>
        </is>
      </c>
      <c r="C12" s="5" t="inlineStr">
        <is>
          <t>ATD.TO</t>
        </is>
      </c>
      <c r="D12" s="6" t="n">
        <v>0.03</v>
      </c>
      <c r="E12" s="6" t="n">
        <v>0.03</v>
      </c>
      <c r="F12" s="6">
        <f>D12-E12</f>
        <v/>
      </c>
      <c r="G12" s="6">
        <f>D12+E12</f>
        <v/>
      </c>
      <c r="H12" s="8" t="inlineStr">
        <is>
          <t>Standard Daily Drift</t>
        </is>
      </c>
    </row>
    <row r="13">
      <c r="A13" s="4" t="inlineStr">
        <is>
          <t>Canadian Equity</t>
        </is>
      </c>
      <c r="B13" s="4" t="inlineStr">
        <is>
          <t>Brookfield Corporation</t>
        </is>
      </c>
      <c r="C13" s="5" t="inlineStr">
        <is>
          <t>BAM.TO</t>
        </is>
      </c>
      <c r="D13" s="6" t="n">
        <v>0.03</v>
      </c>
      <c r="E13" s="6" t="n">
        <v>0.03</v>
      </c>
      <c r="F13" s="6">
        <f>D13-E13</f>
        <v/>
      </c>
      <c r="G13" s="6">
        <f>D13+E13</f>
        <v/>
      </c>
      <c r="H13" s="8" t="inlineStr">
        <is>
          <t>Standard Daily Drift</t>
        </is>
      </c>
    </row>
    <row r="14">
      <c r="A14" s="4" t="inlineStr">
        <is>
          <t>Canadian Equity</t>
        </is>
      </c>
      <c r="B14" s="4" t="inlineStr">
        <is>
          <t>Constellation Software Inc.</t>
        </is>
      </c>
      <c r="C14" s="5" t="inlineStr">
        <is>
          <t>CSU.TO</t>
        </is>
      </c>
      <c r="D14" s="6" t="n">
        <v>0.03</v>
      </c>
      <c r="E14" s="6" t="n">
        <v>0.04</v>
      </c>
      <c r="F14" s="6">
        <f>D14-E14</f>
        <v/>
      </c>
      <c r="G14" s="6">
        <f>D14+E14</f>
        <v/>
      </c>
      <c r="H14" s="8" t="inlineStr">
        <is>
          <t>Standard Daily Drift</t>
        </is>
      </c>
    </row>
    <row r="15">
      <c r="A15" s="4" t="inlineStr">
        <is>
          <t>Canadian Equity</t>
        </is>
      </c>
      <c r="B15" s="4" t="inlineStr">
        <is>
          <t>Shopify Inc.</t>
        </is>
      </c>
      <c r="C15" s="5" t="inlineStr">
        <is>
          <t>SHOP.TO</t>
        </is>
      </c>
      <c r="D15" s="6" t="n">
        <v>0.03</v>
      </c>
      <c r="E15" s="6" t="n">
        <v>0.05</v>
      </c>
      <c r="F15" s="6">
        <f>D15-E15</f>
        <v/>
      </c>
      <c r="G15" s="6">
        <f>D15+E15</f>
        <v/>
      </c>
      <c r="H15" s="8" t="inlineStr">
        <is>
          <t>Standard Daily Drift</t>
        </is>
      </c>
    </row>
    <row r="16">
      <c r="A16" s="4" t="inlineStr">
        <is>
          <t>US Equity</t>
        </is>
      </c>
      <c r="B16" s="4" t="inlineStr">
        <is>
          <t>Microsoft Corporation</t>
        </is>
      </c>
      <c r="C16" s="5" t="inlineStr">
        <is>
          <t>MSFT</t>
        </is>
      </c>
      <c r="D16" s="6" t="n">
        <v>0.04</v>
      </c>
      <c r="E16" s="6" t="n">
        <v>0.04</v>
      </c>
      <c r="F16" s="6">
        <f>D16-E16</f>
        <v/>
      </c>
      <c r="G16" s="6">
        <f>D16+E16</f>
        <v/>
      </c>
      <c r="H16" s="8" t="inlineStr">
        <is>
          <t>Standard Daily Drift</t>
        </is>
      </c>
    </row>
    <row r="17">
      <c r="A17" s="4" t="inlineStr">
        <is>
          <t>US Equity</t>
        </is>
      </c>
      <c r="B17" s="4" t="inlineStr">
        <is>
          <t>Apple Inc.</t>
        </is>
      </c>
      <c r="C17" s="5" t="inlineStr">
        <is>
          <t>AAPL</t>
        </is>
      </c>
      <c r="D17" s="6" t="n">
        <v>0.04</v>
      </c>
      <c r="E17" s="6" t="n">
        <v>0.04</v>
      </c>
      <c r="F17" s="6">
        <f>D17-E17</f>
        <v/>
      </c>
      <c r="G17" s="6">
        <f>D17+E17</f>
        <v/>
      </c>
      <c r="H17" s="8" t="inlineStr">
        <is>
          <t>Standard Daily Drift</t>
        </is>
      </c>
    </row>
    <row r="18">
      <c r="A18" s="4" t="inlineStr">
        <is>
          <t>US Equity</t>
        </is>
      </c>
      <c r="B18" s="4" t="inlineStr">
        <is>
          <t>NVIDIA Corporation</t>
        </is>
      </c>
      <c r="C18" s="5" t="inlineStr">
        <is>
          <t>NVDA</t>
        </is>
      </c>
      <c r="D18" s="6" t="n">
        <v>0.04</v>
      </c>
      <c r="E18" s="6" t="n">
        <v>0.05</v>
      </c>
      <c r="F18" s="6">
        <f>D18-E18</f>
        <v/>
      </c>
      <c r="G18" s="6">
        <f>D18+E18</f>
        <v/>
      </c>
      <c r="H18" s="8" t="inlineStr">
        <is>
          <t>Standard Daily Drift</t>
        </is>
      </c>
    </row>
    <row r="19">
      <c r="A19" s="4" t="inlineStr">
        <is>
          <t>US Equity</t>
        </is>
      </c>
      <c r="B19" s="4" t="inlineStr">
        <is>
          <t>Amazon.com Inc.</t>
        </is>
      </c>
      <c r="C19" s="5" t="inlineStr">
        <is>
          <t>AMZN</t>
        </is>
      </c>
      <c r="D19" s="6" t="n">
        <v>0.03</v>
      </c>
      <c r="E19" s="6" t="n">
        <v>0.04</v>
      </c>
      <c r="F19" s="6">
        <f>D19-E19</f>
        <v/>
      </c>
      <c r="G19" s="6">
        <f>D19+E19</f>
        <v/>
      </c>
      <c r="H19" s="8" t="inlineStr">
        <is>
          <t>Standard Daily Drift</t>
        </is>
      </c>
    </row>
    <row r="20">
      <c r="A20" s="4" t="inlineStr">
        <is>
          <t>US Equity</t>
        </is>
      </c>
      <c r="B20" s="4" t="inlineStr">
        <is>
          <t>Eli Lilly and Company</t>
        </is>
      </c>
      <c r="C20" s="5" t="inlineStr">
        <is>
          <t>LLY</t>
        </is>
      </c>
      <c r="D20" s="6" t="n">
        <v>0.03</v>
      </c>
      <c r="E20" s="6" t="n">
        <v>0.04</v>
      </c>
      <c r="F20" s="6">
        <f>D20-E20</f>
        <v/>
      </c>
      <c r="G20" s="6">
        <f>D20+E20</f>
        <v/>
      </c>
      <c r="H20" s="8" t="inlineStr">
        <is>
          <t>Standard Daily Drift</t>
        </is>
      </c>
    </row>
    <row r="21">
      <c r="A21" s="4" t="inlineStr">
        <is>
          <t>US Equity</t>
        </is>
      </c>
      <c r="B21" s="4" t="inlineStr">
        <is>
          <t>Visa Inc.</t>
        </is>
      </c>
      <c r="C21" s="5" t="inlineStr">
        <is>
          <t>V</t>
        </is>
      </c>
      <c r="D21" s="6" t="n">
        <v>0.03</v>
      </c>
      <c r="E21" s="6" t="n">
        <v>0.04</v>
      </c>
      <c r="F21" s="6">
        <f>D21-E21</f>
        <v/>
      </c>
      <c r="G21" s="6">
        <f>D21+E21</f>
        <v/>
      </c>
      <c r="H21" s="8" t="inlineStr">
        <is>
          <t>Standard Daily Drift</t>
        </is>
      </c>
    </row>
    <row r="22">
      <c r="A22" s="4" t="inlineStr">
        <is>
          <t>US Equity</t>
        </is>
      </c>
      <c r="B22" s="4" t="inlineStr">
        <is>
          <t>Costco Wholesale Corp.</t>
        </is>
      </c>
      <c r="C22" s="5" t="inlineStr">
        <is>
          <t>COST</t>
        </is>
      </c>
      <c r="D22" s="6" t="n">
        <v>0.03</v>
      </c>
      <c r="E22" s="6" t="n">
        <v>0.03</v>
      </c>
      <c r="F22" s="6">
        <f>D22-E22</f>
        <v/>
      </c>
      <c r="G22" s="6">
        <f>D22+E22</f>
        <v/>
      </c>
      <c r="H22" s="8" t="inlineStr">
        <is>
          <t>Standard Daily Drift</t>
        </is>
      </c>
    </row>
    <row r="23">
      <c r="A23" s="4" t="inlineStr">
        <is>
          <t>US Equity</t>
        </is>
      </c>
      <c r="B23" s="4" t="inlineStr">
        <is>
          <t>Alphabet Inc. (Class A)</t>
        </is>
      </c>
      <c r="C23" s="5" t="inlineStr">
        <is>
          <t>GOOGL</t>
        </is>
      </c>
      <c r="D23" s="6" t="n">
        <v>0.03</v>
      </c>
      <c r="E23" s="6" t="n">
        <v>0.04</v>
      </c>
      <c r="F23" s="6">
        <f>D23-E23</f>
        <v/>
      </c>
      <c r="G23" s="6">
        <f>D23+E23</f>
        <v/>
      </c>
      <c r="H23" s="8" t="inlineStr">
        <is>
          <t>Standard Daily Drift</t>
        </is>
      </c>
    </row>
    <row r="24">
      <c r="A24" s="4" t="inlineStr">
        <is>
          <t>US Equity</t>
        </is>
      </c>
      <c r="B24" s="4" t="inlineStr">
        <is>
          <t>JPMorgan Chase &amp; Co.</t>
        </is>
      </c>
      <c r="C24" s="5" t="inlineStr">
        <is>
          <t>JPM</t>
        </is>
      </c>
      <c r="D24" s="6" t="n">
        <v>0.03</v>
      </c>
      <c r="E24" s="6" t="n">
        <v>0.03</v>
      </c>
      <c r="F24" s="6">
        <f>D24-E24</f>
        <v/>
      </c>
      <c r="G24" s="6">
        <f>D24+E24</f>
        <v/>
      </c>
      <c r="H24" s="8" t="inlineStr">
        <is>
          <t>Standard Daily Drift</t>
        </is>
      </c>
    </row>
    <row r="25">
      <c r="A25" s="4" t="inlineStr">
        <is>
          <t>International Equity</t>
        </is>
      </c>
      <c r="B25" s="4" t="inlineStr">
        <is>
          <t>iShares Core MSCI EAFE IMI Index ETF</t>
        </is>
      </c>
      <c r="C25" s="5" t="inlineStr">
        <is>
          <t>XEF.TO</t>
        </is>
      </c>
      <c r="D25" s="6" t="n">
        <v>0.15</v>
      </c>
      <c r="E25" s="6" t="n">
        <v>0.03</v>
      </c>
      <c r="F25" s="6">
        <f>D25-E25</f>
        <v/>
      </c>
      <c r="G25" s="6">
        <f>D25+E25</f>
        <v/>
      </c>
      <c r="H25" s="8" t="inlineStr">
        <is>
          <t>Standard Daily Drift</t>
        </is>
      </c>
    </row>
    <row r="26">
      <c r="A26" s="4" t="inlineStr">
        <is>
          <t>Emerging Markets</t>
        </is>
      </c>
      <c r="B26" s="4" t="inlineStr">
        <is>
          <t>iShares Core MSCI Emerging Markets ETF</t>
        </is>
      </c>
      <c r="C26" s="5" t="inlineStr">
        <is>
          <t>XEC.TO</t>
        </is>
      </c>
      <c r="D26" s="6" t="n">
        <v>0.05</v>
      </c>
      <c r="E26" s="6" t="n">
        <v>0.04</v>
      </c>
      <c r="F26" s="6">
        <f>D26-E26</f>
        <v/>
      </c>
      <c r="G26" s="6">
        <f>D26+E26</f>
        <v/>
      </c>
      <c r="H26" s="8" t="inlineStr">
        <is>
          <t>Standard Daily Drift</t>
        </is>
      </c>
    </row>
    <row r="27">
      <c r="C27" s="9" t="inlineStr">
        <is>
          <t>TOTAL</t>
        </is>
      </c>
      <c r="D27" s="10">
        <f>SUM(D5:D26)</f>
        <v/>
      </c>
    </row>
    <row r="28"/>
    <row r="29">
      <c r="A29" s="11" t="inlineStr">
        <is>
          <t>* Stable money market funds (NBC200) are assigned a 0.0% drift band to function as cash anchors.</t>
        </is>
      </c>
    </row>
    <row r="30">
      <c r="A30" s="11" t="inlineStr">
        <is>
          <t>** The fixed income sleeve utilizes active institutional credit managers (Guardian, PIMCO, Canso) in place of provincial bonds.</t>
        </is>
      </c>
    </row>
  </sheetData>
  <mergeCells count="4">
    <mergeCell ref="A29:H29"/>
    <mergeCell ref="A2:H2"/>
    <mergeCell ref="A30:H3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28" customWidth="1" min="8" max="8"/>
  </cols>
  <sheetData>
    <row r="1">
      <c r="A1" s="1" t="inlineStr">
        <is>
          <t>All Equity Portfolio - Active Credit &amp; Direct Equity</t>
        </is>
      </c>
    </row>
    <row r="2">
      <c r="A2" s="2" t="inlineStr">
        <is>
          <t>98% Public Equity / 2% Cash - Maximum Capital Appreciation</t>
        </is>
      </c>
    </row>
    <row r="4">
      <c r="A4" s="3" t="inlineStr">
        <is>
          <t>Asset Class</t>
        </is>
      </c>
      <c r="B4" s="3" t="inlineStr">
        <is>
          <t>Security Name</t>
        </is>
      </c>
      <c r="C4" s="3" t="inlineStr">
        <is>
          <t>Ticker / Identifier</t>
        </is>
      </c>
      <c r="D4" s="3" t="inlineStr">
        <is>
          <t>Target Weight</t>
        </is>
      </c>
      <c r="E4" s="3" t="inlineStr">
        <is>
          <t>Drift Band (+/-)</t>
        </is>
      </c>
      <c r="F4" s="3" t="inlineStr">
        <is>
          <t>Min Tolerance</t>
        </is>
      </c>
      <c r="G4" s="3" t="inlineStr">
        <is>
          <t>Max Tolerance</t>
        </is>
      </c>
      <c r="H4" s="3" t="inlineStr">
        <is>
          <t>Tracking Protocol</t>
        </is>
      </c>
    </row>
    <row r="5">
      <c r="A5" s="4" t="inlineStr">
        <is>
          <t>Cash Equivalent</t>
        </is>
      </c>
      <c r="B5" s="4" t="inlineStr">
        <is>
          <t>National Bank Cash Fund</t>
        </is>
      </c>
      <c r="C5" s="5" t="inlineStr">
        <is>
          <t>NBC200</t>
        </is>
      </c>
      <c r="D5" s="6" t="n">
        <v>0.02</v>
      </c>
      <c r="E5" s="6" t="n">
        <v>0</v>
      </c>
      <c r="F5" s="6">
        <f>D5-E5</f>
        <v/>
      </c>
      <c r="G5" s="6">
        <f>D5+E5</f>
        <v/>
      </c>
      <c r="H5" s="7" t="inlineStr">
        <is>
          <t>Anchor (No Daily Drift)</t>
        </is>
      </c>
    </row>
    <row r="6">
      <c r="A6" s="4" t="inlineStr">
        <is>
          <t>Canadian Equity</t>
        </is>
      </c>
      <c r="B6" s="4" t="inlineStr">
        <is>
          <t>Royal Bank of Canada</t>
        </is>
      </c>
      <c r="C6" s="5" t="inlineStr">
        <is>
          <t>RY.TO</t>
        </is>
      </c>
      <c r="D6" s="6" t="n">
        <v>0.04</v>
      </c>
      <c r="E6" s="6" t="n">
        <v>0.03</v>
      </c>
      <c r="F6" s="6">
        <f>D6-E6</f>
        <v/>
      </c>
      <c r="G6" s="6">
        <f>D6+E6</f>
        <v/>
      </c>
      <c r="H6" s="8" t="inlineStr">
        <is>
          <t>Standard Daily Drift</t>
        </is>
      </c>
    </row>
    <row r="7">
      <c r="A7" s="4" t="inlineStr">
        <is>
          <t>Canadian Equity</t>
        </is>
      </c>
      <c r="B7" s="4" t="inlineStr">
        <is>
          <t>Toronto-Dominion Bank</t>
        </is>
      </c>
      <c r="C7" s="5" t="inlineStr">
        <is>
          <t>TD.TO</t>
        </is>
      </c>
      <c r="D7" s="6" t="n">
        <v>0.03</v>
      </c>
      <c r="E7" s="6" t="n">
        <v>0.03</v>
      </c>
      <c r="F7" s="6">
        <f>D7-E7</f>
        <v/>
      </c>
      <c r="G7" s="6">
        <f>D7+E7</f>
        <v/>
      </c>
      <c r="H7" s="8" t="inlineStr">
        <is>
          <t>Standard Daily Drift</t>
        </is>
      </c>
    </row>
    <row r="8">
      <c r="A8" s="4" t="inlineStr">
        <is>
          <t>Canadian Equity</t>
        </is>
      </c>
      <c r="B8" s="4" t="inlineStr">
        <is>
          <t>Canadian National Railway Co.</t>
        </is>
      </c>
      <c r="C8" s="5" t="inlineStr">
        <is>
          <t>CNR.TO</t>
        </is>
      </c>
      <c r="D8" s="6" t="n">
        <v>0.04</v>
      </c>
      <c r="E8" s="6" t="n">
        <v>0.03</v>
      </c>
      <c r="F8" s="6">
        <f>D8-E8</f>
        <v/>
      </c>
      <c r="G8" s="6">
        <f>D8+E8</f>
        <v/>
      </c>
      <c r="H8" s="8" t="inlineStr">
        <is>
          <t>Standard Daily Drift</t>
        </is>
      </c>
    </row>
    <row r="9">
      <c r="A9" s="4" t="inlineStr">
        <is>
          <t>Canadian Equity</t>
        </is>
      </c>
      <c r="B9" s="4" t="inlineStr">
        <is>
          <t>Canadian Pacific Kansas City</t>
        </is>
      </c>
      <c r="C9" s="5" t="inlineStr">
        <is>
          <t>CP.TO</t>
        </is>
      </c>
      <c r="D9" s="6" t="n">
        <v>0.03</v>
      </c>
      <c r="E9" s="6" t="n">
        <v>0.03</v>
      </c>
      <c r="F9" s="6">
        <f>D9-E9</f>
        <v/>
      </c>
      <c r="G9" s="6">
        <f>D9+E9</f>
        <v/>
      </c>
      <c r="H9" s="8" t="inlineStr">
        <is>
          <t>Standard Daily Drift</t>
        </is>
      </c>
    </row>
    <row r="10">
      <c r="A10" s="4" t="inlineStr">
        <is>
          <t>Canadian Equity</t>
        </is>
      </c>
      <c r="B10" s="4" t="inlineStr">
        <is>
          <t>Alimentation Couche-Tard Inc.</t>
        </is>
      </c>
      <c r="C10" s="5" t="inlineStr">
        <is>
          <t>ATD.TO</t>
        </is>
      </c>
      <c r="D10" s="6" t="n">
        <v>0.03</v>
      </c>
      <c r="E10" s="6" t="n">
        <v>0.03</v>
      </c>
      <c r="F10" s="6">
        <f>D10-E10</f>
        <v/>
      </c>
      <c r="G10" s="6">
        <f>D10+E10</f>
        <v/>
      </c>
      <c r="H10" s="8" t="inlineStr">
        <is>
          <t>Standard Daily Drift</t>
        </is>
      </c>
    </row>
    <row r="11">
      <c r="A11" s="4" t="inlineStr">
        <is>
          <t>Canadian Equity</t>
        </is>
      </c>
      <c r="B11" s="4" t="inlineStr">
        <is>
          <t>Brookfield Corporation</t>
        </is>
      </c>
      <c r="C11" s="5" t="inlineStr">
        <is>
          <t>BAM.TO</t>
        </is>
      </c>
      <c r="D11" s="6" t="n">
        <v>0.04</v>
      </c>
      <c r="E11" s="6" t="n">
        <v>0.03</v>
      </c>
      <c r="F11" s="6">
        <f>D11-E11</f>
        <v/>
      </c>
      <c r="G11" s="6">
        <f>D11+E11</f>
        <v/>
      </c>
      <c r="H11" s="8" t="inlineStr">
        <is>
          <t>Standard Daily Drift</t>
        </is>
      </c>
    </row>
    <row r="12">
      <c r="A12" s="4" t="inlineStr">
        <is>
          <t>Canadian Equity</t>
        </is>
      </c>
      <c r="B12" s="4" t="inlineStr">
        <is>
          <t>Constellation Software Inc.</t>
        </is>
      </c>
      <c r="C12" s="5" t="inlineStr">
        <is>
          <t>CSU.TO</t>
        </is>
      </c>
      <c r="D12" s="6" t="n">
        <v>0.04</v>
      </c>
      <c r="E12" s="6" t="n">
        <v>0.04</v>
      </c>
      <c r="F12" s="6">
        <f>D12-E12</f>
        <v/>
      </c>
      <c r="G12" s="6">
        <f>D12+E12</f>
        <v/>
      </c>
      <c r="H12" s="8" t="inlineStr">
        <is>
          <t>Standard Daily Drift</t>
        </is>
      </c>
    </row>
    <row r="13">
      <c r="A13" s="4" t="inlineStr">
        <is>
          <t>Canadian Equity</t>
        </is>
      </c>
      <c r="B13" s="4" t="inlineStr">
        <is>
          <t>Shopify Inc.</t>
        </is>
      </c>
      <c r="C13" s="5" t="inlineStr">
        <is>
          <t>SHOP.TO</t>
        </is>
      </c>
      <c r="D13" s="6" t="n">
        <v>0.03</v>
      </c>
      <c r="E13" s="6" t="n">
        <v>0.05</v>
      </c>
      <c r="F13" s="6">
        <f>D13-E13</f>
        <v/>
      </c>
      <c r="G13" s="6">
        <f>D13+E13</f>
        <v/>
      </c>
      <c r="H13" s="8" t="inlineStr">
        <is>
          <t>Standard Daily Drift</t>
        </is>
      </c>
    </row>
    <row r="14">
      <c r="A14" s="4" t="inlineStr">
        <is>
          <t>US Equity</t>
        </is>
      </c>
      <c r="B14" s="4" t="inlineStr">
        <is>
          <t>Microsoft Corporation</t>
        </is>
      </c>
      <c r="C14" s="5" t="inlineStr">
        <is>
          <t>MSFT</t>
        </is>
      </c>
      <c r="D14" s="6" t="n">
        <v>0.06</v>
      </c>
      <c r="E14" s="6" t="n">
        <v>0.04</v>
      </c>
      <c r="F14" s="6">
        <f>D14-E14</f>
        <v/>
      </c>
      <c r="G14" s="6">
        <f>D14+E14</f>
        <v/>
      </c>
      <c r="H14" s="8" t="inlineStr">
        <is>
          <t>Standard Daily Drift</t>
        </is>
      </c>
    </row>
    <row r="15">
      <c r="A15" s="4" t="inlineStr">
        <is>
          <t>US Equity</t>
        </is>
      </c>
      <c r="B15" s="4" t="inlineStr">
        <is>
          <t>Apple Inc.</t>
        </is>
      </c>
      <c r="C15" s="5" t="inlineStr">
        <is>
          <t>AAPL</t>
        </is>
      </c>
      <c r="D15" s="6" t="n">
        <v>0.05</v>
      </c>
      <c r="E15" s="6" t="n">
        <v>0.04</v>
      </c>
      <c r="F15" s="6">
        <f>D15-E15</f>
        <v/>
      </c>
      <c r="G15" s="6">
        <f>D15+E15</f>
        <v/>
      </c>
      <c r="H15" s="8" t="inlineStr">
        <is>
          <t>Standard Daily Drift</t>
        </is>
      </c>
    </row>
    <row r="16">
      <c r="A16" s="4" t="inlineStr">
        <is>
          <t>US Equity</t>
        </is>
      </c>
      <c r="B16" s="4" t="inlineStr">
        <is>
          <t>NVIDIA Corporation</t>
        </is>
      </c>
      <c r="C16" s="5" t="inlineStr">
        <is>
          <t>NVDA</t>
        </is>
      </c>
      <c r="D16" s="6" t="n">
        <v>0.05</v>
      </c>
      <c r="E16" s="6" t="n">
        <v>0.05</v>
      </c>
      <c r="F16" s="6">
        <f>D16-E16</f>
        <v/>
      </c>
      <c r="G16" s="6">
        <f>D16+E16</f>
        <v/>
      </c>
      <c r="H16" s="8" t="inlineStr">
        <is>
          <t>Standard Daily Drift</t>
        </is>
      </c>
    </row>
    <row r="17">
      <c r="A17" s="4" t="inlineStr">
        <is>
          <t>US Equity</t>
        </is>
      </c>
      <c r="B17" s="4" t="inlineStr">
        <is>
          <t>Amazon.com Inc.</t>
        </is>
      </c>
      <c r="C17" s="5" t="inlineStr">
        <is>
          <t>AMZN</t>
        </is>
      </c>
      <c r="D17" s="6" t="n">
        <v>0.05</v>
      </c>
      <c r="E17" s="6" t="n">
        <v>0.04</v>
      </c>
      <c r="F17" s="6">
        <f>D17-E17</f>
        <v/>
      </c>
      <c r="G17" s="6">
        <f>D17+E17</f>
        <v/>
      </c>
      <c r="H17" s="8" t="inlineStr">
        <is>
          <t>Standard Daily Drift</t>
        </is>
      </c>
    </row>
    <row r="18">
      <c r="A18" s="4" t="inlineStr">
        <is>
          <t>US Equity</t>
        </is>
      </c>
      <c r="B18" s="4" t="inlineStr">
        <is>
          <t>Eli Lilly and Company</t>
        </is>
      </c>
      <c r="C18" s="5" t="inlineStr">
        <is>
          <t>LLY</t>
        </is>
      </c>
      <c r="D18" s="6" t="n">
        <v>0.04</v>
      </c>
      <c r="E18" s="6" t="n">
        <v>0.04</v>
      </c>
      <c r="F18" s="6">
        <f>D18-E18</f>
        <v/>
      </c>
      <c r="G18" s="6">
        <f>D18+E18</f>
        <v/>
      </c>
      <c r="H18" s="8" t="inlineStr">
        <is>
          <t>Standard Daily Drift</t>
        </is>
      </c>
    </row>
    <row r="19">
      <c r="A19" s="4" t="inlineStr">
        <is>
          <t>US Equity</t>
        </is>
      </c>
      <c r="B19" s="4" t="inlineStr">
        <is>
          <t>Visa Inc.</t>
        </is>
      </c>
      <c r="C19" s="5" t="inlineStr">
        <is>
          <t>V</t>
        </is>
      </c>
      <c r="D19" s="6" t="n">
        <v>0.04</v>
      </c>
      <c r="E19" s="6" t="n">
        <v>0.04</v>
      </c>
      <c r="F19" s="6">
        <f>D19-E19</f>
        <v/>
      </c>
      <c r="G19" s="6">
        <f>D19+E19</f>
        <v/>
      </c>
      <c r="H19" s="8" t="inlineStr">
        <is>
          <t>Standard Daily Drift</t>
        </is>
      </c>
    </row>
    <row r="20">
      <c r="A20" s="4" t="inlineStr">
        <is>
          <t>US Equity</t>
        </is>
      </c>
      <c r="B20" s="4" t="inlineStr">
        <is>
          <t>Broadcom Inc.</t>
        </is>
      </c>
      <c r="C20" s="5" t="inlineStr">
        <is>
          <t>AVGO</t>
        </is>
      </c>
      <c r="D20" s="6" t="n">
        <v>0.03</v>
      </c>
      <c r="E20" s="6" t="n">
        <v>0.05</v>
      </c>
      <c r="F20" s="6">
        <f>D20-E20</f>
        <v/>
      </c>
      <c r="G20" s="6">
        <f>D20+E20</f>
        <v/>
      </c>
      <c r="H20" s="8" t="inlineStr">
        <is>
          <t>Standard Daily Drift</t>
        </is>
      </c>
    </row>
    <row r="21">
      <c r="A21" s="4" t="inlineStr">
        <is>
          <t>US Equity</t>
        </is>
      </c>
      <c r="B21" s="4" t="inlineStr">
        <is>
          <t>Costco Wholesale Corp.</t>
        </is>
      </c>
      <c r="C21" s="5" t="inlineStr">
        <is>
          <t>COST</t>
        </is>
      </c>
      <c r="D21" s="6" t="n">
        <v>0.03</v>
      </c>
      <c r="E21" s="6" t="n">
        <v>0.03</v>
      </c>
      <c r="F21" s="6">
        <f>D21-E21</f>
        <v/>
      </c>
      <c r="G21" s="6">
        <f>D21+E21</f>
        <v/>
      </c>
      <c r="H21" s="8" t="inlineStr">
        <is>
          <t>Standard Daily Drift</t>
        </is>
      </c>
    </row>
    <row r="22">
      <c r="A22" s="4" t="inlineStr">
        <is>
          <t>US Equity</t>
        </is>
      </c>
      <c r="B22" s="4" t="inlineStr">
        <is>
          <t>Alphabet Inc. (Class A)</t>
        </is>
      </c>
      <c r="C22" s="5" t="inlineStr">
        <is>
          <t>GOOGL</t>
        </is>
      </c>
      <c r="D22" s="6" t="n">
        <v>0.04</v>
      </c>
      <c r="E22" s="6" t="n">
        <v>0.04</v>
      </c>
      <c r="F22" s="6">
        <f>D22-E22</f>
        <v/>
      </c>
      <c r="G22" s="6">
        <f>D22+E22</f>
        <v/>
      </c>
      <c r="H22" s="8" t="inlineStr">
        <is>
          <t>Standard Daily Drift</t>
        </is>
      </c>
    </row>
    <row r="23">
      <c r="A23" s="4" t="inlineStr">
        <is>
          <t>US Equity</t>
        </is>
      </c>
      <c r="B23" s="4" t="inlineStr">
        <is>
          <t>JPMorgan Chase &amp; Co.</t>
        </is>
      </c>
      <c r="C23" s="5" t="inlineStr">
        <is>
          <t>JPM</t>
        </is>
      </c>
      <c r="D23" s="6" t="n">
        <v>0.03</v>
      </c>
      <c r="E23" s="6" t="n">
        <v>0.03</v>
      </c>
      <c r="F23" s="6">
        <f>D23-E23</f>
        <v/>
      </c>
      <c r="G23" s="6">
        <f>D23+E23</f>
        <v/>
      </c>
      <c r="H23" s="8" t="inlineStr">
        <is>
          <t>Standard Daily Drift</t>
        </is>
      </c>
    </row>
    <row r="24">
      <c r="A24" s="4" t="inlineStr">
        <is>
          <t>International Equity</t>
        </is>
      </c>
      <c r="B24" s="4" t="inlineStr">
        <is>
          <t>iShares Core MSCI EAFE IMI Index ETF</t>
        </is>
      </c>
      <c r="C24" s="5" t="inlineStr">
        <is>
          <t>XEF.TO</t>
        </is>
      </c>
      <c r="D24" s="6" t="n">
        <v>0.15</v>
      </c>
      <c r="E24" s="6" t="n">
        <v>0.03</v>
      </c>
      <c r="F24" s="6">
        <f>D24-E24</f>
        <v/>
      </c>
      <c r="G24" s="6">
        <f>D24+E24</f>
        <v/>
      </c>
      <c r="H24" s="8" t="inlineStr">
        <is>
          <t>Standard Daily Drift</t>
        </is>
      </c>
    </row>
    <row r="25">
      <c r="A25" s="4" t="inlineStr">
        <is>
          <t>Emerging Markets</t>
        </is>
      </c>
      <c r="B25" s="4" t="inlineStr">
        <is>
          <t>iShares Core MSCI Emerging Markets ETF</t>
        </is>
      </c>
      <c r="C25" s="5" t="inlineStr">
        <is>
          <t>XEC.TO</t>
        </is>
      </c>
      <c r="D25" s="6" t="n">
        <v>0.08</v>
      </c>
      <c r="E25" s="6" t="n">
        <v>0.04</v>
      </c>
      <c r="F25" s="6">
        <f>D25-E25</f>
        <v/>
      </c>
      <c r="G25" s="6">
        <f>D25+E25</f>
        <v/>
      </c>
      <c r="H25" s="8" t="inlineStr">
        <is>
          <t>Standard Daily Drift</t>
        </is>
      </c>
    </row>
    <row r="26">
      <c r="C26" s="9" t="inlineStr">
        <is>
          <t>TOTAL</t>
        </is>
      </c>
      <c r="D26" s="10">
        <f>SUM(D5:D25)</f>
        <v/>
      </c>
    </row>
    <row r="27"/>
    <row r="28">
      <c r="A28" s="11" t="inlineStr">
        <is>
          <t>* Stable money market funds (NBC200) are assigned a 0.0% drift band to function as cash anchors.</t>
        </is>
      </c>
    </row>
    <row r="29">
      <c r="A29" s="11" t="inlineStr">
        <is>
          <t>** The fixed income sleeve utilizes active institutional credit managers (Guardian, PIMCO, Canso) in place of provincial bonds.</t>
        </is>
      </c>
    </row>
  </sheetData>
  <mergeCells count="4">
    <mergeCell ref="A28:H28"/>
    <mergeCell ref="A2:H2"/>
    <mergeCell ref="A29:H2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2026-06-24T05:58:23Z</dcterms:created>
  <dcterms:modified xmlns:dcterms="http://purl.org/dc/terms/" xmlns:xsi="http://www.w3.org/2001/XMLSchema-instance" xsi:type="dcterms:W3CDTF">2026-06-26T17:17:45Z</dcterms:modified>
</cp:coreProperties>
</file>